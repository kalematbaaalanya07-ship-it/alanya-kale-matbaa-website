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27AA58D-1F7F-49B9-AC10-DF1727147BB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2026 Özel Günler" sheetId="1" r:id="rId1"/>
    <sheet name="2026 Resmi Tatiller" sheetId="2" r:id="rId2"/>
    <sheet name="Özet" sheetId="3" r:id="rId3"/>
  </sheets>
  <definedNames>
    <definedName name="_xlnm._FilterDatabase" localSheetId="0" hidden="1">'2026 Özel Günler'!$A$3:$D$129</definedName>
    <definedName name="_xlnm.Print_Titles" localSheetId="0">'2026 Özel Günler'!$1:$3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3" l="1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16" i="3" l="1"/>
  <c r="B16" i="3"/>
</calcChain>
</file>

<file path=xl/sharedStrings.xml><?xml version="1.0" encoding="utf-8"?>
<sst xmlns="http://schemas.openxmlformats.org/spreadsheetml/2006/main" count="430" uniqueCount="186">
  <si>
    <t>Tarih</t>
  </si>
  <si>
    <t>Özel Günler</t>
  </si>
  <si>
    <t>Resmi Tatil</t>
  </si>
  <si>
    <t>Ay</t>
  </si>
  <si>
    <t>1 Ocak 2026</t>
  </si>
  <si>
    <t>Yeni Yıl</t>
  </si>
  <si>
    <t>Ocak</t>
  </si>
  <si>
    <t>Bilim Kurgu Günü</t>
  </si>
  <si>
    <t>—</t>
  </si>
  <si>
    <t>Dünya Gazeteciler Günü, Ziraat Mühendisleri Günü</t>
  </si>
  <si>
    <t>Dünya Hijyen Günü</t>
  </si>
  <si>
    <t>Dünya Sarılma Günü</t>
  </si>
  <si>
    <t>Dünya Karşılıksız İyilik Günü</t>
  </si>
  <si>
    <t>Dünya Cüzzam Haftası</t>
  </si>
  <si>
    <t>Uluslararası Gümrük Günü</t>
  </si>
  <si>
    <t>Veri Koruma Günü</t>
  </si>
  <si>
    <t>Şubat</t>
  </si>
  <si>
    <t>Dünya Kanser Günü</t>
  </si>
  <si>
    <t>Dünya Sigarayı Bırakma Günü, Dünya Pizza Günü</t>
  </si>
  <si>
    <t>Dünya Radyo Günü</t>
  </si>
  <si>
    <t>Sevgililer Günü, Dünya Öykü Günü</t>
  </si>
  <si>
    <t>Dünya Kediler Günü</t>
  </si>
  <si>
    <t>Dünya Ressamlar Günü</t>
  </si>
  <si>
    <t>Sivil Savunma Günü</t>
  </si>
  <si>
    <t>Yeşilay Haftası, Deprem Haftası, Girişimcilik Haftası</t>
  </si>
  <si>
    <t>Mart</t>
  </si>
  <si>
    <t>Dünya Kadınlar Günü</t>
  </si>
  <si>
    <t>Bilim ve Teknoloji Haftası</t>
  </si>
  <si>
    <t>İstiklal Marşı’nın Kabulü ve Mehmet Akif Ersoy’u Anma Günü</t>
  </si>
  <si>
    <t>Tıp Bayramı</t>
  </si>
  <si>
    <t>Çanakkale Zaferi</t>
  </si>
  <si>
    <t>Yaşlılara Saygı Haftası</t>
  </si>
  <si>
    <t>19 Mart 2026</t>
  </si>
  <si>
    <t>Ramazan Bayramı</t>
  </si>
  <si>
    <t>Nevruz Bayramı</t>
  </si>
  <si>
    <t>Dünya Down Sendromu Farkındalık Günü</t>
  </si>
  <si>
    <t>Dünya Şiir Günü</t>
  </si>
  <si>
    <t>Dünya Ormancılık Günü</t>
  </si>
  <si>
    <t>Orman Haftası</t>
  </si>
  <si>
    <t>Dünya Su Günü</t>
  </si>
  <si>
    <t>Dünya Meteoroloji Günü</t>
  </si>
  <si>
    <t>Dünya Tiyatrolar Günü</t>
  </si>
  <si>
    <t>Kütüphane Haftası</t>
  </si>
  <si>
    <t>Dünya Şaka Günü</t>
  </si>
  <si>
    <t>Nisan</t>
  </si>
  <si>
    <t>Kanserle Savaş Haftası</t>
  </si>
  <si>
    <t>Dünya Otizm Farkındalık Günü</t>
  </si>
  <si>
    <t>Dünya Sokak Hayvanları Günü</t>
  </si>
  <si>
    <t>Kişisel Verileri Koruma Günü</t>
  </si>
  <si>
    <t>Dünya Sağlık Haftası, Sağlık ve Sosyal Güvenlik Haftası</t>
  </si>
  <si>
    <t>Polis Günü</t>
  </si>
  <si>
    <t>Malazgirt Haftası, Turizm Haftası</t>
  </si>
  <si>
    <t>Kitap Günü ve Kütüphaneler Haftası</t>
  </si>
  <si>
    <t>Dünya Günü</t>
  </si>
  <si>
    <t>23 Nisan 2026</t>
  </si>
  <si>
    <t>Ulusal Egemenlik ve Çocuk Bayramı</t>
  </si>
  <si>
    <t>Dünya Veteriner Hekimliği Günü, Türkiye İstatistik Günü</t>
  </si>
  <si>
    <t>Dünya Dans Günü</t>
  </si>
  <si>
    <t>1 Mayıs 2026</t>
  </si>
  <si>
    <t>İşçi Bayramı</t>
  </si>
  <si>
    <t>Mayıs</t>
  </si>
  <si>
    <t>Trafik ve İlkyardım Haftası</t>
  </si>
  <si>
    <t>İş Güvenliği Haftası</t>
  </si>
  <si>
    <t>Hıdırellez</t>
  </si>
  <si>
    <t>Dünya Ebeveynler Günü</t>
  </si>
  <si>
    <t>Engelliler Haftası</t>
  </si>
  <si>
    <t>Anneler Günü</t>
  </si>
  <si>
    <t>Hemşireler Haftası</t>
  </si>
  <si>
    <t>Gençlik Haftası</t>
  </si>
  <si>
    <t>Müzeler Haftası</t>
  </si>
  <si>
    <t>19 Mayıs 2026</t>
  </si>
  <si>
    <t>Atatürk’ü Anma Gençlik ve Spor Bayramı</t>
  </si>
  <si>
    <t>26 Mayıs 2026</t>
  </si>
  <si>
    <t>Kurban Bayramı Arefesi</t>
  </si>
  <si>
    <t>Kurban Bayramı</t>
  </si>
  <si>
    <t>İstanbul’un Fethi</t>
  </si>
  <si>
    <t>Dünya Sigara İçmeme Günü</t>
  </si>
  <si>
    <t>Dünya Çocuk Günü</t>
  </si>
  <si>
    <t>Haziran</t>
  </si>
  <si>
    <t>Çevre Koruma Haftası</t>
  </si>
  <si>
    <t>Dünya Okyanus Günü</t>
  </si>
  <si>
    <t>Babalar Günü</t>
  </si>
  <si>
    <t>En Uzun Gün</t>
  </si>
  <si>
    <t>Aşure Günü</t>
  </si>
  <si>
    <t>Kabotaj ve Deniz Bayramı</t>
  </si>
  <si>
    <t>Temmuz</t>
  </si>
  <si>
    <t>Uluslararası Nasreddin Hoca Şenlikleri</t>
  </si>
  <si>
    <t>Dünya Ufo Günü</t>
  </si>
  <si>
    <t>Dünya Öpücük Günü</t>
  </si>
  <si>
    <t>Dünya Çikolata Günü</t>
  </si>
  <si>
    <t>Dünya Hukuk Günü</t>
  </si>
  <si>
    <t>Dünya Nüfus Günü</t>
  </si>
  <si>
    <t>15 Temmuz 2026</t>
  </si>
  <si>
    <t>Demokrasi ve Milli Birlik Günü</t>
  </si>
  <si>
    <t>Dünya Emoji Günü</t>
  </si>
  <si>
    <t>Uluslararası Satranç Günü</t>
  </si>
  <si>
    <t>Dünya Hepatit Günü</t>
  </si>
  <si>
    <t>Dünya Arkadaşlık Günü</t>
  </si>
  <si>
    <t>Türklerin Anadolu’da İlk Fetih Günü</t>
  </si>
  <si>
    <t>Ağustos</t>
  </si>
  <si>
    <t>Hacı Bektaşı Veli’yi Anma Günü ve Haftası</t>
  </si>
  <si>
    <t>Dünya İnsanı Yardım Günü</t>
  </si>
  <si>
    <t>30 Ağustos 2026</t>
  </si>
  <si>
    <t>Zafer Bayramı</t>
  </si>
  <si>
    <t>Dünya Barış Günü</t>
  </si>
  <si>
    <t>Eylül</t>
  </si>
  <si>
    <t>Halk Sağlığı Haftası</t>
  </si>
  <si>
    <t>Dünya Okuma Yazma Günü</t>
  </si>
  <si>
    <t>Gaziler Günü</t>
  </si>
  <si>
    <t>Dünya Eczacılık Günü</t>
  </si>
  <si>
    <t>Dil Bayramı</t>
  </si>
  <si>
    <t>Dünya Turizm Günü</t>
  </si>
  <si>
    <t>Hayvanları Koruma Günü, Dünya Mimarlık Günü</t>
  </si>
  <si>
    <t>Ekim</t>
  </si>
  <si>
    <t>Dünya Ruh Sağlığı Günü</t>
  </si>
  <si>
    <t>Dünya Kız Çocukları Günü</t>
  </si>
  <si>
    <t>Ankara’nın Başkent Oluşu</t>
  </si>
  <si>
    <t>Dünya Gıda Günü</t>
  </si>
  <si>
    <t>Dünya Yoksullukla Mücadele Günü</t>
  </si>
  <si>
    <t>Kızılay Haftası</t>
  </si>
  <si>
    <t>Birleşmiş Milletler Günü</t>
  </si>
  <si>
    <t>29 Ekim 2026</t>
  </si>
  <si>
    <t>Cumhuriyet Bayramı</t>
  </si>
  <si>
    <t>Dünya Tasarruf Günü</t>
  </si>
  <si>
    <t>Türk Harflerinin Kabulü</t>
  </si>
  <si>
    <t>Kasım</t>
  </si>
  <si>
    <t>Lösemili Çocuklar Haftası</t>
  </si>
  <si>
    <t>Dünya Şehircilik Günü</t>
  </si>
  <si>
    <t>Atatürk’ü Anma Günü</t>
  </si>
  <si>
    <t>Dünya Diyabet Günü, Dünya Sinema Günü</t>
  </si>
  <si>
    <t>Çocuk Hakları Günü</t>
  </si>
  <si>
    <t>Ağız ve Diş Sağlığı Haftası</t>
  </si>
  <si>
    <t>Öğretmenler Günü</t>
  </si>
  <si>
    <t>Kadına Yönelik Şiddete Karşı Uluslararası Mücadele Günü</t>
  </si>
  <si>
    <t>Dünya AIDS Günü</t>
  </si>
  <si>
    <t>Aralık</t>
  </si>
  <si>
    <t>Dünya Engelliler Günü</t>
  </si>
  <si>
    <t>Dünya Madenciler Günü</t>
  </si>
  <si>
    <t>Dünya Mühendisler Günü, Kadın Hakları Günü, Türk Kahvesi Günü, Dünya Toprak Günü</t>
  </si>
  <si>
    <t>Dünya Sivil Havacılık Günü</t>
  </si>
  <si>
    <t>Uluslararası Çay Günü</t>
  </si>
  <si>
    <t>En Uzun Gece</t>
  </si>
  <si>
    <t>Yılbaşı Akşamı</t>
  </si>
  <si>
    <t>2026 Resmi Tatiller</t>
  </si>
  <si>
    <t>Avansas “2026 Resmi Tatiller” tablosu (kaynak sitedeki ikinci tablo)</t>
  </si>
  <si>
    <t>Gün</t>
  </si>
  <si>
    <t>Perşembe</t>
  </si>
  <si>
    <t>Ramazan Bayramı Arifesi (Yarım Gün)</t>
  </si>
  <si>
    <t>20 Mart -22 Mart 2026</t>
  </si>
  <si>
    <t>Cuma – Pazar</t>
  </si>
  <si>
    <t>Cuma</t>
  </si>
  <si>
    <t>Salı</t>
  </si>
  <si>
    <t>27-30 Mayıs 2026</t>
  </si>
  <si>
    <t>Çarşamba – Cumartesi</t>
  </si>
  <si>
    <t>Çarşamba</t>
  </si>
  <si>
    <t>Pazar</t>
  </si>
  <si>
    <t>Not: Avansas resmi tatiller tablosunda 28 Ekim Cumhuriyet Bayramı arifesi (yarım gün) ayrı satır olarak yer almıyor. 2429 sayılı Kanun’a göre 28 Ekim öğleden sonra da resmi tatildir.</t>
  </si>
  <si>
    <t>2026 — Ay Bazında Özet</t>
  </si>
  <si>
    <t>Kayıt sayısı</t>
  </si>
  <si>
    <t>Resmi tatil kaydı</t>
  </si>
  <si>
    <t>Toplam</t>
  </si>
  <si>
    <t xml:space="preserve">  Özel Günler ve Resmi Tatiller</t>
  </si>
  <si>
    <t xml:space="preserve">1.01. </t>
  </si>
  <si>
    <t xml:space="preserve">24 – 31 Ocak  </t>
  </si>
  <si>
    <t xml:space="preserve">1 – 7 Mart  </t>
  </si>
  <si>
    <t xml:space="preserve">8 – 14 Mart  </t>
  </si>
  <si>
    <t xml:space="preserve">18-24 Mart  </t>
  </si>
  <si>
    <t xml:space="preserve">21 – 26 Mart  </t>
  </si>
  <si>
    <t xml:space="preserve">27 Mart – 2 Nisan  </t>
  </si>
  <si>
    <t xml:space="preserve">1 – 7 Nisan  </t>
  </si>
  <si>
    <t xml:space="preserve">7 – 13 Nisan  </t>
  </si>
  <si>
    <t xml:space="preserve">15 – 21 Nisan  </t>
  </si>
  <si>
    <t xml:space="preserve">19 – 25 Nisan  </t>
  </si>
  <si>
    <t xml:space="preserve">1 – 7 Mayıs  </t>
  </si>
  <si>
    <t xml:space="preserve">2 – 10 Mayıs  </t>
  </si>
  <si>
    <t xml:space="preserve">5 – 6 Mayıs  </t>
  </si>
  <si>
    <t xml:space="preserve">10 – 16 Mayıs  </t>
  </si>
  <si>
    <t xml:space="preserve">12 – 18 Mayıs  </t>
  </si>
  <si>
    <t xml:space="preserve">15 – 21 Mayıs  </t>
  </si>
  <si>
    <t xml:space="preserve">18 – 24 Mayıs  </t>
  </si>
  <si>
    <t xml:space="preserve">1 – 7 Temmuz  </t>
  </si>
  <si>
    <t xml:space="preserve">16 Ağustos – 23 Ağustos  </t>
  </si>
  <si>
    <t xml:space="preserve">3 – 9 Eylül  </t>
  </si>
  <si>
    <t xml:space="preserve">19 Ekim – 4 Kasım  </t>
  </si>
  <si>
    <t xml:space="preserve">2 – 8 Kasım  </t>
  </si>
  <si>
    <t xml:space="preserve">22 – 28 Kasım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</si>
</sst>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1"/>
      <color rgb="FF4B5563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i/>
      <sz val="9"/>
      <color rgb="FF6B728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B4F72"/>
        <bgColor rgb="FF4B5563"/>
      </patternFill>
    </fill>
    <fill>
      <patternFill patternType="solid">
        <fgColor rgb="FFF5B7B1"/>
        <bgColor rgb="FFFF99CC"/>
      </patternFill>
    </fill>
    <fill>
      <patternFill patternType="solid">
        <fgColor rgb="FFEAF2F8"/>
        <bgColor rgb="FFD5F5E3"/>
      </patternFill>
    </fill>
    <fill>
      <patternFill patternType="solid">
        <fgColor rgb="FFF9E79F"/>
        <bgColor rgb="FFFFFFCC"/>
      </patternFill>
    </fill>
    <fill>
      <patternFill patternType="solid">
        <fgColor rgb="FF922B21"/>
        <bgColor rgb="FF993366"/>
      </patternFill>
    </fill>
    <fill>
      <patternFill patternType="solid">
        <fgColor rgb="FFD5F5E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6" borderId="0" xfId="0" applyFont="1" applyFill="1" applyAlignment="1">
      <alignment horizontal="left" vertical="center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 vertical="center" wrapText="1"/>
    </xf>
    <xf numFmtId="15" fontId="4" fillId="3" borderId="1" xfId="0" applyNumberFormat="1" applyFont="1" applyFill="1" applyBorder="1" applyAlignment="1">
      <alignment horizontal="left" vertical="center" wrapText="1"/>
    </xf>
    <xf numFmtId="16" fontId="4" fillId="0" borderId="1" xfId="0" applyNumberFormat="1" applyFont="1" applyBorder="1" applyAlignment="1">
      <alignment horizontal="left" vertical="center" wrapText="1"/>
    </xf>
    <xf numFmtId="16" fontId="4" fillId="4" borderId="1" xfId="0" applyNumberFormat="1" applyFont="1" applyFill="1" applyBorder="1" applyAlignment="1">
      <alignment horizontal="left" vertical="center" wrapText="1"/>
    </xf>
    <xf numFmtId="16" fontId="4" fillId="5" borderId="1" xfId="0" applyNumberFormat="1" applyFont="1" applyFill="1" applyBorder="1" applyAlignment="1">
      <alignment horizontal="left" vertical="center" wrapText="1"/>
    </xf>
    <xf numFmtId="16" fontId="4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9E79F"/>
      <rgbColor rgb="FF99CCFF"/>
      <rgbColor rgb="FFFF99CC"/>
      <rgbColor rgb="FFCC99FF"/>
      <rgbColor rgb="FFF5B7B1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B4F72"/>
      <rgbColor rgb="FF339966"/>
      <rgbColor rgb="FF003300"/>
      <rgbColor rgb="FF333300"/>
      <rgbColor rgb="FF922B21"/>
      <rgbColor rgb="FF993366"/>
      <rgbColor rgb="FF333399"/>
      <rgbColor rgb="FF4B556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2"/>
  <sheetViews>
    <sheetView tabSelected="1" zoomScaleNormal="100" workbookViewId="0">
      <pane ySplit="3" topLeftCell="A68" activePane="bottomLeft" state="frozen"/>
      <selection pane="bottomLeft" activeCell="B73" sqref="B73"/>
    </sheetView>
  </sheetViews>
  <sheetFormatPr defaultColWidth="8.7109375" defaultRowHeight="15" x14ac:dyDescent="0.25"/>
  <cols>
    <col min="1" max="1" width="32" customWidth="1"/>
    <col min="2" max="2" width="72" customWidth="1"/>
    <col min="3" max="3" width="28" customWidth="1"/>
    <col min="4" max="4" width="14" customWidth="1"/>
  </cols>
  <sheetData>
    <row r="1" spans="1:4" ht="27.75" customHeight="1" x14ac:dyDescent="0.25">
      <c r="A1" s="6" t="s">
        <v>161</v>
      </c>
      <c r="B1" s="6"/>
      <c r="C1" s="6"/>
      <c r="D1" s="6"/>
    </row>
    <row r="2" spans="1:4" ht="19.5" customHeight="1" x14ac:dyDescent="0.25">
      <c r="A2" s="5"/>
      <c r="B2" s="5"/>
      <c r="C2" s="5"/>
      <c r="D2" s="5"/>
    </row>
    <row r="3" spans="1:4" ht="21.75" customHeight="1" x14ac:dyDescent="0.25">
      <c r="A3" s="7" t="s">
        <v>0</v>
      </c>
      <c r="B3" s="7" t="s">
        <v>1</v>
      </c>
      <c r="C3" s="7" t="s">
        <v>2</v>
      </c>
      <c r="D3" s="7" t="s">
        <v>3</v>
      </c>
    </row>
    <row r="4" spans="1:4" ht="19.5" customHeight="1" x14ac:dyDescent="0.25">
      <c r="A4" s="22" t="s">
        <v>162</v>
      </c>
      <c r="B4" s="8" t="s">
        <v>5</v>
      </c>
      <c r="C4" s="9" t="s">
        <v>2</v>
      </c>
      <c r="D4" s="10" t="s">
        <v>6</v>
      </c>
    </row>
    <row r="5" spans="1:4" ht="19.5" customHeight="1" x14ac:dyDescent="0.25">
      <c r="A5" s="23">
        <v>46024</v>
      </c>
      <c r="B5" s="11" t="s">
        <v>7</v>
      </c>
      <c r="C5" s="12" t="s">
        <v>8</v>
      </c>
      <c r="D5" s="12" t="s">
        <v>6</v>
      </c>
    </row>
    <row r="6" spans="1:4" ht="19.5" customHeight="1" x14ac:dyDescent="0.25">
      <c r="A6" s="24">
        <v>46032</v>
      </c>
      <c r="B6" s="13" t="s">
        <v>9</v>
      </c>
      <c r="C6" s="14" t="s">
        <v>8</v>
      </c>
      <c r="D6" s="14" t="s">
        <v>6</v>
      </c>
    </row>
    <row r="7" spans="1:4" ht="19.5" customHeight="1" x14ac:dyDescent="0.25">
      <c r="A7" s="23"/>
      <c r="B7" s="11"/>
      <c r="C7" s="12"/>
      <c r="D7" s="12"/>
    </row>
    <row r="8" spans="1:4" ht="19.5" customHeight="1" x14ac:dyDescent="0.25">
      <c r="A8" s="24">
        <v>46038</v>
      </c>
      <c r="B8" s="13" t="s">
        <v>10</v>
      </c>
      <c r="C8" s="14" t="s">
        <v>8</v>
      </c>
      <c r="D8" s="14" t="s">
        <v>6</v>
      </c>
    </row>
    <row r="9" spans="1:4" ht="19.5" customHeight="1" x14ac:dyDescent="0.25">
      <c r="A9" s="23">
        <v>46043</v>
      </c>
      <c r="B9" s="11" t="s">
        <v>11</v>
      </c>
      <c r="C9" s="12" t="s">
        <v>8</v>
      </c>
      <c r="D9" s="12" t="s">
        <v>6</v>
      </c>
    </row>
    <row r="10" spans="1:4" ht="19.5" customHeight="1" x14ac:dyDescent="0.25">
      <c r="A10" s="24">
        <v>46046</v>
      </c>
      <c r="B10" s="13" t="s">
        <v>12</v>
      </c>
      <c r="C10" s="14" t="s">
        <v>8</v>
      </c>
      <c r="D10" s="14" t="s">
        <v>6</v>
      </c>
    </row>
    <row r="11" spans="1:4" ht="19.5" customHeight="1" x14ac:dyDescent="0.25">
      <c r="A11" s="11" t="s">
        <v>163</v>
      </c>
      <c r="B11" s="11" t="s">
        <v>13</v>
      </c>
      <c r="C11" s="12" t="s">
        <v>8</v>
      </c>
      <c r="D11" s="12" t="s">
        <v>6</v>
      </c>
    </row>
    <row r="12" spans="1:4" ht="19.5" customHeight="1" x14ac:dyDescent="0.25">
      <c r="A12" s="24">
        <v>46048</v>
      </c>
      <c r="B12" s="13" t="s">
        <v>14</v>
      </c>
      <c r="C12" s="14" t="s">
        <v>8</v>
      </c>
      <c r="D12" s="14" t="s">
        <v>6</v>
      </c>
    </row>
    <row r="13" spans="1:4" ht="19.5" customHeight="1" x14ac:dyDescent="0.25">
      <c r="A13" s="23">
        <v>46050</v>
      </c>
      <c r="B13" s="11" t="s">
        <v>15</v>
      </c>
      <c r="C13" s="12" t="s">
        <v>8</v>
      </c>
      <c r="D13" s="12" t="s">
        <v>6</v>
      </c>
    </row>
    <row r="14" spans="1:4" ht="19.5" customHeight="1" x14ac:dyDescent="0.25">
      <c r="A14" s="24"/>
      <c r="B14" s="13"/>
      <c r="C14" s="14"/>
      <c r="D14" s="14"/>
    </row>
    <row r="15" spans="1:4" ht="19.5" customHeight="1" x14ac:dyDescent="0.25">
      <c r="A15" s="23">
        <v>46057</v>
      </c>
      <c r="B15" s="11" t="s">
        <v>17</v>
      </c>
      <c r="C15" s="12" t="s">
        <v>8</v>
      </c>
      <c r="D15" s="12" t="s">
        <v>16</v>
      </c>
    </row>
    <row r="16" spans="1:4" ht="19.5" customHeight="1" x14ac:dyDescent="0.25">
      <c r="A16" s="24">
        <v>46062</v>
      </c>
      <c r="B16" s="13" t="s">
        <v>18</v>
      </c>
      <c r="C16" s="14" t="s">
        <v>8</v>
      </c>
      <c r="D16" s="14" t="s">
        <v>16</v>
      </c>
    </row>
    <row r="17" spans="1:4" ht="19.5" customHeight="1" x14ac:dyDescent="0.25">
      <c r="A17" s="23"/>
      <c r="B17" s="11"/>
      <c r="C17" s="12"/>
      <c r="D17" s="12"/>
    </row>
    <row r="18" spans="1:4" ht="19.5" customHeight="1" x14ac:dyDescent="0.25">
      <c r="A18" s="24">
        <v>46066</v>
      </c>
      <c r="B18" s="13" t="s">
        <v>19</v>
      </c>
      <c r="C18" s="14" t="s">
        <v>8</v>
      </c>
      <c r="D18" s="14" t="s">
        <v>16</v>
      </c>
    </row>
    <row r="19" spans="1:4" ht="19.5" customHeight="1" x14ac:dyDescent="0.25">
      <c r="A19" s="23">
        <v>46067</v>
      </c>
      <c r="B19" s="11" t="s">
        <v>20</v>
      </c>
      <c r="C19" s="12" t="s">
        <v>8</v>
      </c>
      <c r="D19" s="12" t="s">
        <v>16</v>
      </c>
    </row>
    <row r="20" spans="1:4" ht="19.5" customHeight="1" x14ac:dyDescent="0.25">
      <c r="A20" s="24">
        <v>46070</v>
      </c>
      <c r="B20" s="13" t="s">
        <v>21</v>
      </c>
      <c r="C20" s="14" t="s">
        <v>8</v>
      </c>
      <c r="D20" s="14" t="s">
        <v>16</v>
      </c>
    </row>
    <row r="21" spans="1:4" ht="19.5" customHeight="1" x14ac:dyDescent="0.25">
      <c r="A21" s="23">
        <v>46080</v>
      </c>
      <c r="B21" s="11" t="s">
        <v>22</v>
      </c>
      <c r="C21" s="12" t="s">
        <v>8</v>
      </c>
      <c r="D21" s="12" t="s">
        <v>16</v>
      </c>
    </row>
    <row r="22" spans="1:4" ht="19.5" customHeight="1" x14ac:dyDescent="0.25">
      <c r="A22" s="24">
        <v>46081</v>
      </c>
      <c r="B22" s="13" t="s">
        <v>23</v>
      </c>
      <c r="C22" s="14" t="s">
        <v>8</v>
      </c>
      <c r="D22" s="14" t="s">
        <v>16</v>
      </c>
    </row>
    <row r="23" spans="1:4" ht="19.5" customHeight="1" x14ac:dyDescent="0.25">
      <c r="A23" s="11" t="s">
        <v>164</v>
      </c>
      <c r="B23" s="11" t="s">
        <v>24</v>
      </c>
      <c r="C23" s="12" t="s">
        <v>8</v>
      </c>
      <c r="D23" s="12" t="s">
        <v>25</v>
      </c>
    </row>
    <row r="24" spans="1:4" ht="19.5" customHeight="1" x14ac:dyDescent="0.25">
      <c r="A24" s="24">
        <v>46089</v>
      </c>
      <c r="B24" s="13" t="s">
        <v>26</v>
      </c>
      <c r="C24" s="14" t="s">
        <v>8</v>
      </c>
      <c r="D24" s="14" t="s">
        <v>25</v>
      </c>
    </row>
    <row r="25" spans="1:4" ht="19.5" customHeight="1" x14ac:dyDescent="0.25">
      <c r="A25" s="11" t="s">
        <v>165</v>
      </c>
      <c r="B25" s="11" t="s">
        <v>27</v>
      </c>
      <c r="C25" s="12" t="s">
        <v>8</v>
      </c>
      <c r="D25" s="12" t="s">
        <v>25</v>
      </c>
    </row>
    <row r="26" spans="1:4" ht="19.5" customHeight="1" x14ac:dyDescent="0.25">
      <c r="A26" s="24">
        <v>46093</v>
      </c>
      <c r="B26" s="13" t="s">
        <v>28</v>
      </c>
      <c r="C26" s="14" t="s">
        <v>8</v>
      </c>
      <c r="D26" s="14" t="s">
        <v>25</v>
      </c>
    </row>
    <row r="27" spans="1:4" ht="19.5" customHeight="1" x14ac:dyDescent="0.25">
      <c r="A27" s="23">
        <v>46095</v>
      </c>
      <c r="B27" s="11" t="s">
        <v>29</v>
      </c>
      <c r="C27" s="12" t="s">
        <v>8</v>
      </c>
      <c r="D27" s="12" t="s">
        <v>25</v>
      </c>
    </row>
    <row r="28" spans="1:4" ht="19.5" customHeight="1" x14ac:dyDescent="0.25">
      <c r="A28" s="24"/>
      <c r="B28" s="13"/>
      <c r="C28" s="14"/>
      <c r="D28" s="14"/>
    </row>
    <row r="29" spans="1:4" ht="19.5" customHeight="1" x14ac:dyDescent="0.25">
      <c r="A29" s="23">
        <v>46099</v>
      </c>
      <c r="B29" s="11" t="s">
        <v>30</v>
      </c>
      <c r="C29" s="12" t="s">
        <v>8</v>
      </c>
      <c r="D29" s="12" t="s">
        <v>25</v>
      </c>
    </row>
    <row r="30" spans="1:4" ht="19.5" customHeight="1" x14ac:dyDescent="0.25">
      <c r="A30" s="13" t="s">
        <v>166</v>
      </c>
      <c r="B30" s="13" t="s">
        <v>31</v>
      </c>
      <c r="C30" s="14" t="s">
        <v>8</v>
      </c>
      <c r="D30" s="14" t="s">
        <v>25</v>
      </c>
    </row>
    <row r="31" spans="1:4" ht="19.5" customHeight="1" x14ac:dyDescent="0.25">
      <c r="A31" s="25"/>
      <c r="B31" s="15"/>
      <c r="C31" s="16"/>
      <c r="D31" s="17"/>
    </row>
    <row r="32" spans="1:4" ht="19.5" customHeight="1" x14ac:dyDescent="0.25">
      <c r="A32" s="8"/>
      <c r="B32" s="8"/>
      <c r="C32" s="9"/>
      <c r="D32" s="10"/>
    </row>
    <row r="33" spans="1:4" ht="19.5" customHeight="1" x14ac:dyDescent="0.25">
      <c r="A33" s="23">
        <v>46102</v>
      </c>
      <c r="B33" s="11" t="s">
        <v>34</v>
      </c>
      <c r="C33" s="12" t="s">
        <v>8</v>
      </c>
      <c r="D33" s="12" t="s">
        <v>25</v>
      </c>
    </row>
    <row r="34" spans="1:4" ht="19.5" customHeight="1" x14ac:dyDescent="0.25">
      <c r="A34" s="24">
        <v>46102</v>
      </c>
      <c r="B34" s="13" t="s">
        <v>35</v>
      </c>
      <c r="C34" s="14" t="s">
        <v>8</v>
      </c>
      <c r="D34" s="14" t="s">
        <v>25</v>
      </c>
    </row>
    <row r="35" spans="1:4" ht="19.5" customHeight="1" x14ac:dyDescent="0.25">
      <c r="A35" s="23">
        <v>46102</v>
      </c>
      <c r="B35" s="11" t="s">
        <v>36</v>
      </c>
      <c r="C35" s="12" t="s">
        <v>8</v>
      </c>
      <c r="D35" s="12" t="s">
        <v>25</v>
      </c>
    </row>
    <row r="36" spans="1:4" ht="19.5" customHeight="1" x14ac:dyDescent="0.25">
      <c r="A36" s="24">
        <v>46102</v>
      </c>
      <c r="B36" s="13" t="s">
        <v>37</v>
      </c>
      <c r="C36" s="14" t="s">
        <v>8</v>
      </c>
      <c r="D36" s="14" t="s">
        <v>25</v>
      </c>
    </row>
    <row r="37" spans="1:4" ht="19.5" customHeight="1" x14ac:dyDescent="0.25">
      <c r="A37" s="11" t="s">
        <v>167</v>
      </c>
      <c r="B37" s="11" t="s">
        <v>38</v>
      </c>
      <c r="C37" s="12" t="s">
        <v>8</v>
      </c>
      <c r="D37" s="12" t="s">
        <v>25</v>
      </c>
    </row>
    <row r="38" spans="1:4" ht="19.5" customHeight="1" x14ac:dyDescent="0.25">
      <c r="A38" s="24">
        <v>46103</v>
      </c>
      <c r="B38" s="13" t="s">
        <v>39</v>
      </c>
      <c r="C38" s="14" t="s">
        <v>8</v>
      </c>
      <c r="D38" s="14" t="s">
        <v>25</v>
      </c>
    </row>
    <row r="39" spans="1:4" ht="19.5" customHeight="1" x14ac:dyDescent="0.25">
      <c r="A39" s="23">
        <v>46104</v>
      </c>
      <c r="B39" s="11" t="s">
        <v>40</v>
      </c>
      <c r="C39" s="12" t="s">
        <v>8</v>
      </c>
      <c r="D39" s="12" t="s">
        <v>25</v>
      </c>
    </row>
    <row r="40" spans="1:4" ht="19.5" customHeight="1" x14ac:dyDescent="0.25">
      <c r="A40" s="24">
        <v>46108</v>
      </c>
      <c r="B40" s="13" t="s">
        <v>41</v>
      </c>
      <c r="C40" s="14" t="s">
        <v>8</v>
      </c>
      <c r="D40" s="14" t="s">
        <v>25</v>
      </c>
    </row>
    <row r="41" spans="1:4" ht="19.5" customHeight="1" x14ac:dyDescent="0.25">
      <c r="A41" s="11" t="s">
        <v>168</v>
      </c>
      <c r="B41" s="11" t="s">
        <v>42</v>
      </c>
      <c r="C41" s="12" t="s">
        <v>8</v>
      </c>
      <c r="D41" s="12" t="s">
        <v>25</v>
      </c>
    </row>
    <row r="42" spans="1:4" ht="19.5" customHeight="1" x14ac:dyDescent="0.25">
      <c r="A42" s="24">
        <v>46113</v>
      </c>
      <c r="B42" s="13" t="s">
        <v>43</v>
      </c>
      <c r="C42" s="14" t="s">
        <v>8</v>
      </c>
      <c r="D42" s="14" t="s">
        <v>44</v>
      </c>
    </row>
    <row r="43" spans="1:4" ht="19.5" customHeight="1" x14ac:dyDescent="0.25">
      <c r="A43" s="11" t="s">
        <v>169</v>
      </c>
      <c r="B43" s="11" t="s">
        <v>45</v>
      </c>
      <c r="C43" s="12" t="s">
        <v>8</v>
      </c>
      <c r="D43" s="12" t="s">
        <v>44</v>
      </c>
    </row>
    <row r="44" spans="1:4" ht="19.5" customHeight="1" x14ac:dyDescent="0.25">
      <c r="A44" s="24">
        <v>46114</v>
      </c>
      <c r="B44" s="13" t="s">
        <v>46</v>
      </c>
      <c r="C44" s="14" t="s">
        <v>8</v>
      </c>
      <c r="D44" s="14" t="s">
        <v>44</v>
      </c>
    </row>
    <row r="45" spans="1:4" ht="19.5" customHeight="1" x14ac:dyDescent="0.25">
      <c r="A45" s="23">
        <v>46116</v>
      </c>
      <c r="B45" s="11" t="s">
        <v>47</v>
      </c>
      <c r="C45" s="12" t="s">
        <v>8</v>
      </c>
      <c r="D45" s="12" t="s">
        <v>44</v>
      </c>
    </row>
    <row r="46" spans="1:4" ht="19.5" customHeight="1" x14ac:dyDescent="0.25">
      <c r="A46" s="24">
        <v>46119</v>
      </c>
      <c r="B46" s="13" t="s">
        <v>48</v>
      </c>
      <c r="C46" s="14" t="s">
        <v>8</v>
      </c>
      <c r="D46" s="14" t="s">
        <v>44</v>
      </c>
    </row>
    <row r="47" spans="1:4" ht="19.5" customHeight="1" x14ac:dyDescent="0.25">
      <c r="A47" s="11" t="s">
        <v>170</v>
      </c>
      <c r="B47" s="11" t="s">
        <v>49</v>
      </c>
      <c r="C47" s="12" t="s">
        <v>8</v>
      </c>
      <c r="D47" s="12" t="s">
        <v>44</v>
      </c>
    </row>
    <row r="48" spans="1:4" ht="19.5" customHeight="1" x14ac:dyDescent="0.25">
      <c r="A48" s="24">
        <v>46122</v>
      </c>
      <c r="B48" s="13" t="s">
        <v>50</v>
      </c>
      <c r="C48" s="14" t="s">
        <v>8</v>
      </c>
      <c r="D48" s="14" t="s">
        <v>44</v>
      </c>
    </row>
    <row r="49" spans="1:4" ht="19.5" customHeight="1" x14ac:dyDescent="0.25">
      <c r="A49" s="11"/>
      <c r="B49" s="11"/>
      <c r="C49" s="12"/>
      <c r="D49" s="12"/>
    </row>
    <row r="50" spans="1:4" ht="19.5" customHeight="1" x14ac:dyDescent="0.25">
      <c r="A50" s="13" t="s">
        <v>171</v>
      </c>
      <c r="B50" s="13" t="s">
        <v>51</v>
      </c>
      <c r="C50" s="14" t="s">
        <v>8</v>
      </c>
      <c r="D50" s="14" t="s">
        <v>44</v>
      </c>
    </row>
    <row r="51" spans="1:4" ht="19.5" customHeight="1" x14ac:dyDescent="0.25">
      <c r="A51" s="11" t="s">
        <v>172</v>
      </c>
      <c r="B51" s="11" t="s">
        <v>52</v>
      </c>
      <c r="C51" s="12" t="s">
        <v>8</v>
      </c>
      <c r="D51" s="12" t="s">
        <v>44</v>
      </c>
    </row>
    <row r="52" spans="1:4" ht="19.5" customHeight="1" x14ac:dyDescent="0.25">
      <c r="A52" s="24">
        <v>46134</v>
      </c>
      <c r="B52" s="13" t="s">
        <v>53</v>
      </c>
      <c r="C52" s="14" t="s">
        <v>8</v>
      </c>
      <c r="D52" s="14" t="s">
        <v>44</v>
      </c>
    </row>
    <row r="53" spans="1:4" ht="19.5" customHeight="1" x14ac:dyDescent="0.25">
      <c r="A53" s="26">
        <v>46135</v>
      </c>
      <c r="B53" s="8" t="s">
        <v>55</v>
      </c>
      <c r="C53" s="9" t="s">
        <v>2</v>
      </c>
      <c r="D53" s="10" t="s">
        <v>44</v>
      </c>
    </row>
    <row r="54" spans="1:4" ht="19.5" customHeight="1" x14ac:dyDescent="0.25">
      <c r="A54" s="24">
        <v>46137</v>
      </c>
      <c r="B54" s="13" t="s">
        <v>56</v>
      </c>
      <c r="C54" s="14" t="s">
        <v>8</v>
      </c>
      <c r="D54" s="14" t="s">
        <v>44</v>
      </c>
    </row>
    <row r="55" spans="1:4" ht="19.5" customHeight="1" x14ac:dyDescent="0.25">
      <c r="A55" s="23">
        <v>46141</v>
      </c>
      <c r="B55" s="11" t="s">
        <v>57</v>
      </c>
      <c r="C55" s="12" t="s">
        <v>8</v>
      </c>
      <c r="D55" s="12" t="s">
        <v>44</v>
      </c>
    </row>
    <row r="56" spans="1:4" ht="19.5" customHeight="1" x14ac:dyDescent="0.25">
      <c r="A56" s="26">
        <v>46143</v>
      </c>
      <c r="B56" s="8" t="s">
        <v>59</v>
      </c>
      <c r="C56" s="9" t="s">
        <v>2</v>
      </c>
      <c r="D56" s="10" t="s">
        <v>60</v>
      </c>
    </row>
    <row r="57" spans="1:4" ht="19.5" customHeight="1" x14ac:dyDescent="0.25">
      <c r="A57" s="11" t="s">
        <v>173</v>
      </c>
      <c r="B57" s="11" t="s">
        <v>61</v>
      </c>
      <c r="C57" s="12" t="s">
        <v>8</v>
      </c>
      <c r="D57" s="12" t="s">
        <v>60</v>
      </c>
    </row>
    <row r="58" spans="1:4" ht="19.5" customHeight="1" x14ac:dyDescent="0.25">
      <c r="A58" s="13" t="s">
        <v>174</v>
      </c>
      <c r="B58" s="13" t="s">
        <v>62</v>
      </c>
      <c r="C58" s="14" t="s">
        <v>8</v>
      </c>
      <c r="D58" s="14" t="s">
        <v>60</v>
      </c>
    </row>
    <row r="59" spans="1:4" ht="19.5" customHeight="1" x14ac:dyDescent="0.25">
      <c r="A59" s="11" t="s">
        <v>175</v>
      </c>
      <c r="B59" s="11" t="s">
        <v>63</v>
      </c>
      <c r="C59" s="12" t="s">
        <v>8</v>
      </c>
      <c r="D59" s="12" t="s">
        <v>60</v>
      </c>
    </row>
    <row r="60" spans="1:4" ht="19.5" customHeight="1" x14ac:dyDescent="0.25">
      <c r="A60" s="24">
        <v>46150</v>
      </c>
      <c r="B60" s="13" t="s">
        <v>64</v>
      </c>
      <c r="C60" s="14" t="s">
        <v>8</v>
      </c>
      <c r="D60" s="14" t="s">
        <v>60</v>
      </c>
    </row>
    <row r="61" spans="1:4" ht="19.5" customHeight="1" x14ac:dyDescent="0.25">
      <c r="A61" s="11" t="s">
        <v>176</v>
      </c>
      <c r="B61" s="11" t="s">
        <v>65</v>
      </c>
      <c r="C61" s="12" t="s">
        <v>8</v>
      </c>
      <c r="D61" s="12" t="s">
        <v>60</v>
      </c>
    </row>
    <row r="62" spans="1:4" ht="19.5" customHeight="1" x14ac:dyDescent="0.25">
      <c r="A62" s="24">
        <v>46152</v>
      </c>
      <c r="B62" s="13" t="s">
        <v>66</v>
      </c>
      <c r="C62" s="14" t="s">
        <v>8</v>
      </c>
      <c r="D62" s="14" t="s">
        <v>60</v>
      </c>
    </row>
    <row r="63" spans="1:4" ht="19.5" customHeight="1" x14ac:dyDescent="0.25">
      <c r="A63" s="11" t="s">
        <v>177</v>
      </c>
      <c r="B63" s="11" t="s">
        <v>67</v>
      </c>
      <c r="C63" s="12" t="s">
        <v>8</v>
      </c>
      <c r="D63" s="12" t="s">
        <v>60</v>
      </c>
    </row>
    <row r="64" spans="1:4" ht="19.5" customHeight="1" x14ac:dyDescent="0.25">
      <c r="A64" s="13" t="s">
        <v>178</v>
      </c>
      <c r="B64" s="13" t="s">
        <v>68</v>
      </c>
      <c r="C64" s="14" t="s">
        <v>8</v>
      </c>
      <c r="D64" s="14" t="s">
        <v>60</v>
      </c>
    </row>
    <row r="65" spans="1:4" ht="19.5" customHeight="1" x14ac:dyDescent="0.25">
      <c r="A65" s="11" t="s">
        <v>179</v>
      </c>
      <c r="B65" s="11" t="s">
        <v>69</v>
      </c>
      <c r="C65" s="12" t="s">
        <v>8</v>
      </c>
      <c r="D65" s="12" t="s">
        <v>60</v>
      </c>
    </row>
    <row r="66" spans="1:4" ht="19.5" customHeight="1" x14ac:dyDescent="0.25">
      <c r="A66" s="26">
        <v>46161</v>
      </c>
      <c r="B66" s="8" t="s">
        <v>71</v>
      </c>
      <c r="C66" s="9" t="s">
        <v>2</v>
      </c>
      <c r="D66" s="10" t="s">
        <v>60</v>
      </c>
    </row>
    <row r="67" spans="1:4" ht="19.5" customHeight="1" x14ac:dyDescent="0.25">
      <c r="A67" s="25"/>
      <c r="B67" s="15"/>
      <c r="C67" s="16"/>
      <c r="D67" s="17"/>
    </row>
    <row r="68" spans="1:4" ht="19.5" customHeight="1" x14ac:dyDescent="0.25">
      <c r="A68" s="8"/>
      <c r="B68" s="8"/>
      <c r="C68" s="9"/>
      <c r="D68" s="10"/>
    </row>
    <row r="69" spans="1:4" ht="19.5" customHeight="1" x14ac:dyDescent="0.25">
      <c r="A69" s="23">
        <v>46171</v>
      </c>
      <c r="B69" s="11" t="s">
        <v>75</v>
      </c>
      <c r="C69" s="12" t="s">
        <v>8</v>
      </c>
      <c r="D69" s="12" t="s">
        <v>60</v>
      </c>
    </row>
    <row r="70" spans="1:4" ht="19.5" customHeight="1" x14ac:dyDescent="0.25">
      <c r="A70" s="24">
        <v>46173</v>
      </c>
      <c r="B70" s="13" t="s">
        <v>76</v>
      </c>
      <c r="C70" s="14" t="s">
        <v>8</v>
      </c>
      <c r="D70" s="14" t="s">
        <v>60</v>
      </c>
    </row>
    <row r="71" spans="1:4" ht="19.5" customHeight="1" x14ac:dyDescent="0.25">
      <c r="A71" s="23">
        <v>46174</v>
      </c>
      <c r="B71" s="11" t="s">
        <v>77</v>
      </c>
      <c r="C71" s="12" t="s">
        <v>8</v>
      </c>
      <c r="D71" s="12" t="s">
        <v>78</v>
      </c>
    </row>
    <row r="72" spans="1:4" ht="19.5" customHeight="1" x14ac:dyDescent="0.25">
      <c r="A72" s="24">
        <v>46178</v>
      </c>
      <c r="B72" s="13" t="s">
        <v>79</v>
      </c>
      <c r="C72" s="14" t="s">
        <v>8</v>
      </c>
      <c r="D72" s="14" t="s">
        <v>78</v>
      </c>
    </row>
    <row r="73" spans="1:4" ht="19.5" customHeight="1" x14ac:dyDescent="0.25">
      <c r="A73" s="23">
        <v>46181</v>
      </c>
      <c r="B73" s="11" t="s">
        <v>80</v>
      </c>
      <c r="C73" s="12" t="s">
        <v>8</v>
      </c>
      <c r="D73" s="12" t="s">
        <v>78</v>
      </c>
    </row>
    <row r="74" spans="1:4" ht="19.5" customHeight="1" x14ac:dyDescent="0.25">
      <c r="A74" s="24">
        <v>46194</v>
      </c>
      <c r="B74" s="13" t="s">
        <v>81</v>
      </c>
      <c r="C74" s="14" t="s">
        <v>8</v>
      </c>
      <c r="D74" s="14" t="s">
        <v>78</v>
      </c>
    </row>
    <row r="75" spans="1:4" ht="19.5" customHeight="1" x14ac:dyDescent="0.25">
      <c r="A75" s="23">
        <v>46194</v>
      </c>
      <c r="B75" s="11" t="s">
        <v>82</v>
      </c>
      <c r="C75" s="12" t="s">
        <v>8</v>
      </c>
      <c r="D75" s="12" t="s">
        <v>78</v>
      </c>
    </row>
    <row r="76" spans="1:4" ht="19.5" customHeight="1" x14ac:dyDescent="0.25">
      <c r="A76" s="24">
        <v>46199</v>
      </c>
      <c r="B76" s="13" t="s">
        <v>83</v>
      </c>
      <c r="C76" s="14" t="s">
        <v>8</v>
      </c>
      <c r="D76" s="14" t="s">
        <v>78</v>
      </c>
    </row>
    <row r="77" spans="1:4" ht="19.5" customHeight="1" x14ac:dyDescent="0.25">
      <c r="A77" s="23">
        <v>46204</v>
      </c>
      <c r="B77" s="11" t="s">
        <v>84</v>
      </c>
      <c r="C77" s="12" t="s">
        <v>8</v>
      </c>
      <c r="D77" s="12" t="s">
        <v>85</v>
      </c>
    </row>
    <row r="78" spans="1:4" ht="19.5" customHeight="1" x14ac:dyDescent="0.25">
      <c r="A78" s="13" t="s">
        <v>180</v>
      </c>
      <c r="B78" s="13" t="s">
        <v>86</v>
      </c>
      <c r="C78" s="14" t="s">
        <v>8</v>
      </c>
      <c r="D78" s="14" t="s">
        <v>85</v>
      </c>
    </row>
    <row r="79" spans="1:4" ht="19.5" customHeight="1" x14ac:dyDescent="0.25">
      <c r="A79" s="23">
        <v>46205</v>
      </c>
      <c r="B79" s="11" t="s">
        <v>87</v>
      </c>
      <c r="C79" s="12" t="s">
        <v>8</v>
      </c>
      <c r="D79" s="12" t="s">
        <v>85</v>
      </c>
    </row>
    <row r="80" spans="1:4" ht="19.5" customHeight="1" x14ac:dyDescent="0.25">
      <c r="A80" s="24">
        <v>46209</v>
      </c>
      <c r="B80" s="13" t="s">
        <v>88</v>
      </c>
      <c r="C80" s="14" t="s">
        <v>8</v>
      </c>
      <c r="D80" s="14" t="s">
        <v>85</v>
      </c>
    </row>
    <row r="81" spans="1:4" ht="19.5" customHeight="1" x14ac:dyDescent="0.25">
      <c r="A81" s="23">
        <v>46210</v>
      </c>
      <c r="B81" s="11" t="s">
        <v>89</v>
      </c>
      <c r="C81" s="12" t="s">
        <v>8</v>
      </c>
      <c r="D81" s="12" t="s">
        <v>85</v>
      </c>
    </row>
    <row r="82" spans="1:4" ht="19.5" customHeight="1" x14ac:dyDescent="0.25">
      <c r="A82" s="24">
        <v>46213</v>
      </c>
      <c r="B82" s="13" t="s">
        <v>90</v>
      </c>
      <c r="C82" s="14" t="s">
        <v>8</v>
      </c>
      <c r="D82" s="14" t="s">
        <v>85</v>
      </c>
    </row>
    <row r="83" spans="1:4" ht="19.5" customHeight="1" x14ac:dyDescent="0.25">
      <c r="A83" s="23">
        <v>46214</v>
      </c>
      <c r="B83" s="11" t="s">
        <v>91</v>
      </c>
      <c r="C83" s="12" t="s">
        <v>8</v>
      </c>
      <c r="D83" s="12" t="s">
        <v>85</v>
      </c>
    </row>
    <row r="84" spans="1:4" ht="19.5" customHeight="1" x14ac:dyDescent="0.25">
      <c r="A84" s="26">
        <v>46218</v>
      </c>
      <c r="B84" s="8" t="s">
        <v>93</v>
      </c>
      <c r="C84" s="9" t="s">
        <v>2</v>
      </c>
      <c r="D84" s="10" t="s">
        <v>85</v>
      </c>
    </row>
    <row r="85" spans="1:4" ht="19.5" customHeight="1" x14ac:dyDescent="0.25">
      <c r="A85" s="23">
        <v>46220</v>
      </c>
      <c r="B85" s="11" t="s">
        <v>94</v>
      </c>
      <c r="C85" s="12" t="s">
        <v>8</v>
      </c>
      <c r="D85" s="12" t="s">
        <v>85</v>
      </c>
    </row>
    <row r="86" spans="1:4" ht="19.5" customHeight="1" x14ac:dyDescent="0.25">
      <c r="A86" s="24">
        <v>46223</v>
      </c>
      <c r="B86" s="13" t="s">
        <v>95</v>
      </c>
      <c r="C86" s="14" t="s">
        <v>8</v>
      </c>
      <c r="D86" s="14" t="s">
        <v>85</v>
      </c>
    </row>
    <row r="87" spans="1:4" ht="19.5" customHeight="1" x14ac:dyDescent="0.25">
      <c r="A87" s="23">
        <v>46231</v>
      </c>
      <c r="B87" s="11" t="s">
        <v>96</v>
      </c>
      <c r="C87" s="12" t="s">
        <v>8</v>
      </c>
      <c r="D87" s="12" t="s">
        <v>85</v>
      </c>
    </row>
    <row r="88" spans="1:4" ht="19.5" customHeight="1" x14ac:dyDescent="0.25">
      <c r="A88" s="24">
        <v>46233</v>
      </c>
      <c r="B88" s="13" t="s">
        <v>97</v>
      </c>
      <c r="C88" s="14" t="s">
        <v>8</v>
      </c>
      <c r="D88" s="14" t="s">
        <v>85</v>
      </c>
    </row>
    <row r="89" spans="1:4" ht="19.5" customHeight="1" x14ac:dyDescent="0.25">
      <c r="A89" s="23">
        <v>46250</v>
      </c>
      <c r="B89" s="11" t="s">
        <v>98</v>
      </c>
      <c r="C89" s="12" t="s">
        <v>8</v>
      </c>
      <c r="D89" s="12" t="s">
        <v>99</v>
      </c>
    </row>
    <row r="90" spans="1:4" ht="19.5" customHeight="1" x14ac:dyDescent="0.25">
      <c r="A90" s="13" t="s">
        <v>181</v>
      </c>
      <c r="B90" s="13" t="s">
        <v>100</v>
      </c>
      <c r="C90" s="14" t="s">
        <v>8</v>
      </c>
      <c r="D90" s="14" t="s">
        <v>99</v>
      </c>
    </row>
    <row r="91" spans="1:4" ht="19.5" customHeight="1" x14ac:dyDescent="0.25">
      <c r="A91" s="23">
        <v>46253</v>
      </c>
      <c r="B91" s="11" t="s">
        <v>101</v>
      </c>
      <c r="C91" s="12" t="s">
        <v>8</v>
      </c>
      <c r="D91" s="12" t="s">
        <v>99</v>
      </c>
    </row>
    <row r="92" spans="1:4" ht="19.5" customHeight="1" x14ac:dyDescent="0.25">
      <c r="A92" s="24"/>
      <c r="B92" s="13"/>
      <c r="C92" s="14"/>
      <c r="D92" s="14"/>
    </row>
    <row r="93" spans="1:4" ht="19.5" customHeight="1" x14ac:dyDescent="0.25">
      <c r="A93" s="26">
        <v>46264</v>
      </c>
      <c r="B93" s="8" t="s">
        <v>103</v>
      </c>
      <c r="C93" s="9" t="s">
        <v>2</v>
      </c>
      <c r="D93" s="10" t="s">
        <v>99</v>
      </c>
    </row>
    <row r="94" spans="1:4" ht="19.5" customHeight="1" x14ac:dyDescent="0.25">
      <c r="A94" s="24">
        <v>46266</v>
      </c>
      <c r="B94" s="13" t="s">
        <v>104</v>
      </c>
      <c r="C94" s="14" t="s">
        <v>8</v>
      </c>
      <c r="D94" s="14" t="s">
        <v>105</v>
      </c>
    </row>
    <row r="95" spans="1:4" ht="19.5" customHeight="1" x14ac:dyDescent="0.25">
      <c r="A95" s="11" t="s">
        <v>182</v>
      </c>
      <c r="B95" s="11" t="s">
        <v>106</v>
      </c>
      <c r="C95" s="12" t="s">
        <v>8</v>
      </c>
      <c r="D95" s="12" t="s">
        <v>105</v>
      </c>
    </row>
    <row r="96" spans="1:4" ht="19.5" customHeight="1" x14ac:dyDescent="0.25">
      <c r="A96" s="24">
        <v>46273</v>
      </c>
      <c r="B96" s="13" t="s">
        <v>107</v>
      </c>
      <c r="C96" s="14" t="s">
        <v>8</v>
      </c>
      <c r="D96" s="14" t="s">
        <v>105</v>
      </c>
    </row>
    <row r="97" spans="1:4" ht="19.5" customHeight="1" x14ac:dyDescent="0.25">
      <c r="A97" s="23">
        <v>46284</v>
      </c>
      <c r="B97" s="11" t="s">
        <v>108</v>
      </c>
      <c r="C97" s="12" t="s">
        <v>8</v>
      </c>
      <c r="D97" s="12" t="s">
        <v>105</v>
      </c>
    </row>
    <row r="98" spans="1:4" ht="19.5" customHeight="1" x14ac:dyDescent="0.25">
      <c r="A98" s="24">
        <v>46286</v>
      </c>
      <c r="B98" s="13" t="s">
        <v>104</v>
      </c>
      <c r="C98" s="14" t="s">
        <v>8</v>
      </c>
      <c r="D98" s="14" t="s">
        <v>105</v>
      </c>
    </row>
    <row r="99" spans="1:4" ht="19.5" customHeight="1" x14ac:dyDescent="0.25">
      <c r="A99" s="23">
        <v>46290</v>
      </c>
      <c r="B99" s="11" t="s">
        <v>109</v>
      </c>
      <c r="C99" s="12" t="s">
        <v>8</v>
      </c>
      <c r="D99" s="12" t="s">
        <v>105</v>
      </c>
    </row>
    <row r="100" spans="1:4" ht="19.5" customHeight="1" x14ac:dyDescent="0.25">
      <c r="A100" s="24">
        <v>46291</v>
      </c>
      <c r="B100" s="13" t="s">
        <v>110</v>
      </c>
      <c r="C100" s="14" t="s">
        <v>8</v>
      </c>
      <c r="D100" s="14" t="s">
        <v>105</v>
      </c>
    </row>
    <row r="101" spans="1:4" ht="19.5" customHeight="1" x14ac:dyDescent="0.25">
      <c r="A101" s="23">
        <v>46292</v>
      </c>
      <c r="B101" s="11" t="s">
        <v>111</v>
      </c>
      <c r="C101" s="12" t="s">
        <v>8</v>
      </c>
      <c r="D101" s="12" t="s">
        <v>105</v>
      </c>
    </row>
    <row r="102" spans="1:4" ht="19.5" customHeight="1" x14ac:dyDescent="0.25">
      <c r="A102" s="24">
        <v>46299</v>
      </c>
      <c r="B102" s="13" t="s">
        <v>112</v>
      </c>
      <c r="C102" s="14" t="s">
        <v>8</v>
      </c>
      <c r="D102" s="14" t="s">
        <v>113</v>
      </c>
    </row>
    <row r="103" spans="1:4" ht="19.5" customHeight="1" x14ac:dyDescent="0.25">
      <c r="A103" s="23">
        <v>46305</v>
      </c>
      <c r="B103" s="11" t="s">
        <v>114</v>
      </c>
      <c r="C103" s="12" t="s">
        <v>8</v>
      </c>
      <c r="D103" s="12" t="s">
        <v>113</v>
      </c>
    </row>
    <row r="104" spans="1:4" ht="19.5" customHeight="1" x14ac:dyDescent="0.25">
      <c r="A104" s="24">
        <v>46306</v>
      </c>
      <c r="B104" s="13" t="s">
        <v>115</v>
      </c>
      <c r="C104" s="14" t="s">
        <v>8</v>
      </c>
      <c r="D104" s="14" t="s">
        <v>113</v>
      </c>
    </row>
    <row r="105" spans="1:4" ht="19.5" customHeight="1" x14ac:dyDescent="0.25">
      <c r="A105" s="23">
        <v>46308</v>
      </c>
      <c r="B105" s="11" t="s">
        <v>116</v>
      </c>
      <c r="C105" s="12" t="s">
        <v>8</v>
      </c>
      <c r="D105" s="12" t="s">
        <v>113</v>
      </c>
    </row>
    <row r="106" spans="1:4" ht="19.5" customHeight="1" x14ac:dyDescent="0.25">
      <c r="A106" s="24">
        <v>46311</v>
      </c>
      <c r="B106" s="13" t="s">
        <v>117</v>
      </c>
      <c r="C106" s="14" t="s">
        <v>8</v>
      </c>
      <c r="D106" s="14" t="s">
        <v>113</v>
      </c>
    </row>
    <row r="107" spans="1:4" ht="19.5" customHeight="1" x14ac:dyDescent="0.25">
      <c r="A107" s="23">
        <v>46312</v>
      </c>
      <c r="B107" s="11" t="s">
        <v>118</v>
      </c>
      <c r="C107" s="12" t="s">
        <v>8</v>
      </c>
      <c r="D107" s="12" t="s">
        <v>113</v>
      </c>
    </row>
    <row r="108" spans="1:4" ht="19.5" customHeight="1" x14ac:dyDescent="0.25">
      <c r="A108" s="13" t="s">
        <v>183</v>
      </c>
      <c r="B108" s="13" t="s">
        <v>119</v>
      </c>
      <c r="C108" s="14" t="s">
        <v>8</v>
      </c>
      <c r="D108" s="14" t="s">
        <v>113</v>
      </c>
    </row>
    <row r="109" spans="1:4" ht="19.5" customHeight="1" x14ac:dyDescent="0.25">
      <c r="A109" s="23">
        <v>46319</v>
      </c>
      <c r="B109" s="11" t="s">
        <v>120</v>
      </c>
      <c r="C109" s="12" t="s">
        <v>8</v>
      </c>
      <c r="D109" s="12" t="s">
        <v>113</v>
      </c>
    </row>
    <row r="110" spans="1:4" ht="19.5" customHeight="1" x14ac:dyDescent="0.25">
      <c r="A110" s="26">
        <v>46324</v>
      </c>
      <c r="B110" s="8" t="s">
        <v>122</v>
      </c>
      <c r="C110" s="9" t="s">
        <v>2</v>
      </c>
      <c r="D110" s="10" t="s">
        <v>113</v>
      </c>
    </row>
    <row r="111" spans="1:4" ht="19.5" customHeight="1" x14ac:dyDescent="0.25">
      <c r="A111" s="23">
        <v>46326</v>
      </c>
      <c r="B111" s="11" t="s">
        <v>123</v>
      </c>
      <c r="C111" s="12" t="s">
        <v>8</v>
      </c>
      <c r="D111" s="12" t="s">
        <v>113</v>
      </c>
    </row>
    <row r="112" spans="1:4" ht="19.5" customHeight="1" x14ac:dyDescent="0.25">
      <c r="A112" s="24">
        <v>46327</v>
      </c>
      <c r="B112" s="13" t="s">
        <v>124</v>
      </c>
      <c r="C112" s="14" t="s">
        <v>8</v>
      </c>
      <c r="D112" s="14" t="s">
        <v>125</v>
      </c>
    </row>
    <row r="113" spans="1:4" ht="19.5" customHeight="1" x14ac:dyDescent="0.25">
      <c r="A113" s="11" t="s">
        <v>184</v>
      </c>
      <c r="B113" s="11" t="s">
        <v>126</v>
      </c>
      <c r="C113" s="12" t="s">
        <v>8</v>
      </c>
      <c r="D113" s="12" t="s">
        <v>125</v>
      </c>
    </row>
    <row r="114" spans="1:4" ht="19.5" customHeight="1" x14ac:dyDescent="0.25">
      <c r="A114" s="24">
        <v>46332</v>
      </c>
      <c r="B114" s="13" t="s">
        <v>127</v>
      </c>
      <c r="C114" s="14" t="s">
        <v>8</v>
      </c>
      <c r="D114" s="14" t="s">
        <v>125</v>
      </c>
    </row>
    <row r="115" spans="1:4" ht="19.5" customHeight="1" x14ac:dyDescent="0.25">
      <c r="A115" s="23">
        <v>46336</v>
      </c>
      <c r="B115" s="11" t="s">
        <v>128</v>
      </c>
      <c r="C115" s="12" t="s">
        <v>8</v>
      </c>
      <c r="D115" s="12" t="s">
        <v>125</v>
      </c>
    </row>
    <row r="116" spans="1:4" ht="19.5" customHeight="1" x14ac:dyDescent="0.25">
      <c r="A116" s="24">
        <v>46340</v>
      </c>
      <c r="B116" s="13" t="s">
        <v>129</v>
      </c>
      <c r="C116" s="14" t="s">
        <v>8</v>
      </c>
      <c r="D116" s="14" t="s">
        <v>125</v>
      </c>
    </row>
    <row r="117" spans="1:4" ht="19.5" customHeight="1" x14ac:dyDescent="0.25">
      <c r="A117" s="23">
        <v>46346</v>
      </c>
      <c r="B117" s="11" t="s">
        <v>130</v>
      </c>
      <c r="C117" s="12" t="s">
        <v>8</v>
      </c>
      <c r="D117" s="12" t="s">
        <v>125</v>
      </c>
    </row>
    <row r="118" spans="1:4" ht="19.5" customHeight="1" x14ac:dyDescent="0.25">
      <c r="A118" s="13" t="s">
        <v>185</v>
      </c>
      <c r="B118" s="13" t="s">
        <v>131</v>
      </c>
      <c r="C118" s="14" t="s">
        <v>8</v>
      </c>
      <c r="D118" s="14" t="s">
        <v>125</v>
      </c>
    </row>
    <row r="119" spans="1:4" ht="19.5" customHeight="1" x14ac:dyDescent="0.25">
      <c r="A119" s="23">
        <v>46350</v>
      </c>
      <c r="B119" s="11" t="s">
        <v>132</v>
      </c>
      <c r="C119" s="12" t="s">
        <v>8</v>
      </c>
      <c r="D119" s="12" t="s">
        <v>125</v>
      </c>
    </row>
    <row r="120" spans="1:4" ht="19.5" customHeight="1" x14ac:dyDescent="0.25">
      <c r="A120" s="24">
        <v>46351</v>
      </c>
      <c r="B120" s="13" t="s">
        <v>133</v>
      </c>
      <c r="C120" s="14" t="s">
        <v>8</v>
      </c>
      <c r="D120" s="14" t="s">
        <v>125</v>
      </c>
    </row>
    <row r="121" spans="1:4" ht="19.5" customHeight="1" x14ac:dyDescent="0.25">
      <c r="A121" s="23">
        <v>46357</v>
      </c>
      <c r="B121" s="11" t="s">
        <v>134</v>
      </c>
      <c r="C121" s="12" t="s">
        <v>8</v>
      </c>
      <c r="D121" s="12" t="s">
        <v>135</v>
      </c>
    </row>
    <row r="122" spans="1:4" ht="19.5" customHeight="1" x14ac:dyDescent="0.25">
      <c r="A122" s="24">
        <v>46359</v>
      </c>
      <c r="B122" s="13" t="s">
        <v>136</v>
      </c>
      <c r="C122" s="14" t="s">
        <v>8</v>
      </c>
      <c r="D122" s="14" t="s">
        <v>135</v>
      </c>
    </row>
    <row r="123" spans="1:4" ht="19.5" customHeight="1" x14ac:dyDescent="0.25">
      <c r="A123" s="23">
        <v>46360</v>
      </c>
      <c r="B123" s="11" t="s">
        <v>137</v>
      </c>
      <c r="C123" s="12" t="s">
        <v>8</v>
      </c>
      <c r="D123" s="12" t="s">
        <v>135</v>
      </c>
    </row>
    <row r="124" spans="1:4" ht="19.5" customHeight="1" x14ac:dyDescent="0.25">
      <c r="A124" s="24">
        <v>46361</v>
      </c>
      <c r="B124" s="13" t="s">
        <v>138</v>
      </c>
      <c r="C124" s="14" t="s">
        <v>8</v>
      </c>
      <c r="D124" s="14" t="s">
        <v>135</v>
      </c>
    </row>
    <row r="125" spans="1:4" ht="19.5" customHeight="1" x14ac:dyDescent="0.25">
      <c r="A125" s="23">
        <v>46363</v>
      </c>
      <c r="B125" s="11" t="s">
        <v>139</v>
      </c>
      <c r="C125" s="12" t="s">
        <v>8</v>
      </c>
      <c r="D125" s="12" t="s">
        <v>135</v>
      </c>
    </row>
    <row r="126" spans="1:4" ht="19.5" customHeight="1" x14ac:dyDescent="0.25">
      <c r="A126" s="24"/>
      <c r="B126" s="13"/>
      <c r="C126" s="14"/>
      <c r="D126" s="14"/>
    </row>
    <row r="127" spans="1:4" ht="19.5" customHeight="1" x14ac:dyDescent="0.25">
      <c r="A127" s="23">
        <v>46371</v>
      </c>
      <c r="B127" s="11" t="s">
        <v>140</v>
      </c>
      <c r="C127" s="12" t="s">
        <v>8</v>
      </c>
      <c r="D127" s="12" t="s">
        <v>135</v>
      </c>
    </row>
    <row r="128" spans="1:4" ht="19.5" customHeight="1" x14ac:dyDescent="0.25">
      <c r="A128" s="24">
        <v>46377</v>
      </c>
      <c r="B128" s="13" t="s">
        <v>141</v>
      </c>
      <c r="C128" s="14" t="s">
        <v>8</v>
      </c>
      <c r="D128" s="14" t="s">
        <v>135</v>
      </c>
    </row>
    <row r="129" spans="1:4" ht="19.5" customHeight="1" x14ac:dyDescent="0.25">
      <c r="A129" s="23">
        <v>46387</v>
      </c>
      <c r="B129" s="11" t="s">
        <v>142</v>
      </c>
      <c r="C129" s="12" t="s">
        <v>8</v>
      </c>
      <c r="D129" s="12" t="s">
        <v>135</v>
      </c>
    </row>
    <row r="131" spans="1:4" x14ac:dyDescent="0.25">
      <c r="A131" s="4"/>
      <c r="B131" s="4"/>
      <c r="C131" s="4"/>
      <c r="D131" s="4"/>
    </row>
    <row r="132" spans="1:4" ht="48" customHeight="1" x14ac:dyDescent="0.25">
      <c r="A132" s="3"/>
      <c r="B132" s="3"/>
      <c r="C132" s="3"/>
      <c r="D132" s="3"/>
    </row>
  </sheetData>
  <autoFilter ref="A3:D129" xr:uid="{00000000-0009-0000-0000-000000000000}"/>
  <mergeCells count="4">
    <mergeCell ref="A1:D1"/>
    <mergeCell ref="A2:D2"/>
    <mergeCell ref="A131:D131"/>
    <mergeCell ref="A132:D132"/>
  </mergeCells>
  <pageMargins left="0.75" right="0.75" top="1" bottom="1" header="0.5" footer="0.5"/>
  <pageSetup paperSize="9" fitToHeight="0" orientation="landscape" horizontalDpi="300" verticalDpi="300"/>
  <headerFooter>
    <oddHeader>&amp;L2026 Özel Günler ve Resmi Tatiller</oddHeader>
    <oddFooter>&amp;RSayfa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26" customWidth="1"/>
    <col min="3" max="3" width="48" customWidth="1"/>
  </cols>
  <sheetData>
    <row r="1" spans="1:3" ht="27.75" customHeight="1" x14ac:dyDescent="0.25">
      <c r="A1" s="2" t="s">
        <v>143</v>
      </c>
      <c r="B1" s="2"/>
      <c r="C1" s="2"/>
    </row>
    <row r="2" spans="1:3" ht="19.5" customHeight="1" x14ac:dyDescent="0.25">
      <c r="A2" s="1" t="s">
        <v>144</v>
      </c>
      <c r="B2" s="1"/>
      <c r="C2" s="1"/>
    </row>
    <row r="3" spans="1:3" x14ac:dyDescent="0.25">
      <c r="A3" s="18" t="s">
        <v>0</v>
      </c>
      <c r="B3" s="18" t="s">
        <v>145</v>
      </c>
      <c r="C3" s="18" t="s">
        <v>1</v>
      </c>
    </row>
    <row r="4" spans="1:3" ht="21.75" customHeight="1" x14ac:dyDescent="0.25">
      <c r="A4" s="8" t="s">
        <v>4</v>
      </c>
      <c r="B4" s="10" t="s">
        <v>146</v>
      </c>
      <c r="C4" s="8" t="s">
        <v>5</v>
      </c>
    </row>
    <row r="5" spans="1:3" ht="21.75" customHeight="1" x14ac:dyDescent="0.25">
      <c r="A5" s="15" t="s">
        <v>32</v>
      </c>
      <c r="B5" s="17" t="s">
        <v>146</v>
      </c>
      <c r="C5" s="19" t="s">
        <v>147</v>
      </c>
    </row>
    <row r="6" spans="1:3" ht="21.75" customHeight="1" x14ac:dyDescent="0.25">
      <c r="A6" s="8" t="s">
        <v>148</v>
      </c>
      <c r="B6" s="10" t="s">
        <v>149</v>
      </c>
      <c r="C6" s="8" t="s">
        <v>33</v>
      </c>
    </row>
    <row r="7" spans="1:3" ht="21.75" customHeight="1" x14ac:dyDescent="0.25">
      <c r="A7" s="8" t="s">
        <v>54</v>
      </c>
      <c r="B7" s="10" t="s">
        <v>146</v>
      </c>
      <c r="C7" s="8" t="s">
        <v>55</v>
      </c>
    </row>
    <row r="8" spans="1:3" ht="21.75" customHeight="1" x14ac:dyDescent="0.25">
      <c r="A8" s="8" t="s">
        <v>58</v>
      </c>
      <c r="B8" s="10" t="s">
        <v>150</v>
      </c>
      <c r="C8" s="8" t="s">
        <v>59</v>
      </c>
    </row>
    <row r="9" spans="1:3" ht="21.75" customHeight="1" x14ac:dyDescent="0.25">
      <c r="A9" s="8" t="s">
        <v>70</v>
      </c>
      <c r="B9" s="10" t="s">
        <v>151</v>
      </c>
      <c r="C9" s="8" t="s">
        <v>71</v>
      </c>
    </row>
    <row r="10" spans="1:3" ht="21.75" customHeight="1" x14ac:dyDescent="0.25">
      <c r="A10" s="15" t="s">
        <v>72</v>
      </c>
      <c r="B10" s="17" t="s">
        <v>151</v>
      </c>
      <c r="C10" s="19" t="s">
        <v>73</v>
      </c>
    </row>
    <row r="11" spans="1:3" ht="21.75" customHeight="1" x14ac:dyDescent="0.25">
      <c r="A11" s="8" t="s">
        <v>152</v>
      </c>
      <c r="B11" s="10" t="s">
        <v>153</v>
      </c>
      <c r="C11" s="8" t="s">
        <v>74</v>
      </c>
    </row>
    <row r="12" spans="1:3" ht="21.75" customHeight="1" x14ac:dyDescent="0.25">
      <c r="A12" s="8" t="s">
        <v>92</v>
      </c>
      <c r="B12" s="10" t="s">
        <v>154</v>
      </c>
      <c r="C12" s="8" t="s">
        <v>93</v>
      </c>
    </row>
    <row r="13" spans="1:3" ht="21.75" customHeight="1" x14ac:dyDescent="0.25">
      <c r="A13" s="8" t="s">
        <v>102</v>
      </c>
      <c r="B13" s="10" t="s">
        <v>155</v>
      </c>
      <c r="C13" s="8" t="s">
        <v>103</v>
      </c>
    </row>
    <row r="14" spans="1:3" ht="21.75" customHeight="1" x14ac:dyDescent="0.25">
      <c r="A14" s="8" t="s">
        <v>121</v>
      </c>
      <c r="B14" s="10" t="s">
        <v>146</v>
      </c>
      <c r="C14" s="8" t="s">
        <v>122</v>
      </c>
    </row>
    <row r="16" spans="1:3" ht="36" customHeight="1" x14ac:dyDescent="0.25">
      <c r="A16" s="3" t="s">
        <v>156</v>
      </c>
      <c r="B16" s="3"/>
      <c r="C16" s="3"/>
    </row>
  </sheetData>
  <mergeCells count="3">
    <mergeCell ref="A1:C1"/>
    <mergeCell ref="A2:C2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2" width="16" customWidth="1"/>
    <col min="3" max="3" width="22" customWidth="1"/>
  </cols>
  <sheetData>
    <row r="1" spans="1:3" ht="27.75" customHeight="1" x14ac:dyDescent="0.25">
      <c r="A1" s="6" t="s">
        <v>157</v>
      </c>
      <c r="B1" s="6"/>
      <c r="C1" s="6"/>
    </row>
    <row r="3" spans="1:3" x14ac:dyDescent="0.25">
      <c r="A3" s="7" t="s">
        <v>3</v>
      </c>
      <c r="B3" s="7" t="s">
        <v>158</v>
      </c>
      <c r="C3" s="7" t="s">
        <v>159</v>
      </c>
    </row>
    <row r="4" spans="1:3" x14ac:dyDescent="0.25">
      <c r="A4" s="13" t="s">
        <v>6</v>
      </c>
      <c r="B4" s="14">
        <f>COUNTIF('2026 Özel Günler'!D$4:D$129,A4)</f>
        <v>9</v>
      </c>
      <c r="C4" s="14">
        <f>COUNTIFS('2026 Özel Günler'!D$4:D$129,A4,'2026 Özel Günler'!C$4:C$129,"*Resmi Tatil*")</f>
        <v>1</v>
      </c>
    </row>
    <row r="5" spans="1:3" x14ac:dyDescent="0.25">
      <c r="A5" s="11" t="s">
        <v>16</v>
      </c>
      <c r="B5" s="12">
        <f>COUNTIF('2026 Özel Günler'!D$4:D$129,A5)</f>
        <v>7</v>
      </c>
      <c r="C5" s="12">
        <f>COUNTIFS('2026 Özel Günler'!D$4:D$129,A5,'2026 Özel Günler'!C$4:C$129,"*Resmi Tatil*")</f>
        <v>0</v>
      </c>
    </row>
    <row r="6" spans="1:3" x14ac:dyDescent="0.25">
      <c r="A6" s="13" t="s">
        <v>25</v>
      </c>
      <c r="B6" s="14">
        <f>COUNTIF('2026 Özel Günler'!D$4:D$129,A6)</f>
        <v>16</v>
      </c>
      <c r="C6" s="14">
        <f>COUNTIFS('2026 Özel Günler'!D$4:D$129,A6,'2026 Özel Günler'!C$4:C$129,"*Resmi Tatil*")</f>
        <v>0</v>
      </c>
    </row>
    <row r="7" spans="1:3" x14ac:dyDescent="0.25">
      <c r="A7" s="11" t="s">
        <v>44</v>
      </c>
      <c r="B7" s="12">
        <f>COUNTIF('2026 Özel Günler'!D$4:D$129,A7)</f>
        <v>13</v>
      </c>
      <c r="C7" s="12">
        <f>COUNTIFS('2026 Özel Günler'!D$4:D$129,A7,'2026 Özel Günler'!C$4:C$129,"*Resmi Tatil*")</f>
        <v>1</v>
      </c>
    </row>
    <row r="8" spans="1:3" x14ac:dyDescent="0.25">
      <c r="A8" s="13" t="s">
        <v>60</v>
      </c>
      <c r="B8" s="14">
        <f>COUNTIF('2026 Özel Günler'!D$4:D$129,A8)</f>
        <v>13</v>
      </c>
      <c r="C8" s="14">
        <f>COUNTIFS('2026 Özel Günler'!D$4:D$129,A8,'2026 Özel Günler'!C$4:C$129,"*Resmi Tatil*")</f>
        <v>2</v>
      </c>
    </row>
    <row r="9" spans="1:3" x14ac:dyDescent="0.25">
      <c r="A9" s="11" t="s">
        <v>78</v>
      </c>
      <c r="B9" s="12">
        <f>COUNTIF('2026 Özel Günler'!D$4:D$129,A9)</f>
        <v>6</v>
      </c>
      <c r="C9" s="12">
        <f>COUNTIFS('2026 Özel Günler'!D$4:D$129,A9,'2026 Özel Günler'!C$4:C$129,"*Resmi Tatil*")</f>
        <v>0</v>
      </c>
    </row>
    <row r="10" spans="1:3" x14ac:dyDescent="0.25">
      <c r="A10" s="13" t="s">
        <v>85</v>
      </c>
      <c r="B10" s="14">
        <f>COUNTIF('2026 Özel Günler'!D$4:D$129,A10)</f>
        <v>12</v>
      </c>
      <c r="C10" s="14">
        <f>COUNTIFS('2026 Özel Günler'!D$4:D$129,A10,'2026 Özel Günler'!C$4:C$129,"*Resmi Tatil*")</f>
        <v>1</v>
      </c>
    </row>
    <row r="11" spans="1:3" x14ac:dyDescent="0.25">
      <c r="A11" s="11" t="s">
        <v>99</v>
      </c>
      <c r="B11" s="12">
        <f>COUNTIF('2026 Özel Günler'!D$4:D$129,A11)</f>
        <v>4</v>
      </c>
      <c r="C11" s="12">
        <f>COUNTIFS('2026 Özel Günler'!D$4:D$129,A11,'2026 Özel Günler'!C$4:C$129,"*Resmi Tatil*")</f>
        <v>1</v>
      </c>
    </row>
    <row r="12" spans="1:3" x14ac:dyDescent="0.25">
      <c r="A12" s="13" t="s">
        <v>105</v>
      </c>
      <c r="B12" s="14">
        <f>COUNTIF('2026 Özel Günler'!D$4:D$129,A12)</f>
        <v>8</v>
      </c>
      <c r="C12" s="14">
        <f>COUNTIFS('2026 Özel Günler'!D$4:D$129,A12,'2026 Özel Günler'!C$4:C$129,"*Resmi Tatil*")</f>
        <v>0</v>
      </c>
    </row>
    <row r="13" spans="1:3" x14ac:dyDescent="0.25">
      <c r="A13" s="11" t="s">
        <v>113</v>
      </c>
      <c r="B13" s="12">
        <f>COUNTIF('2026 Özel Günler'!D$4:D$129,A13)</f>
        <v>10</v>
      </c>
      <c r="C13" s="12">
        <f>COUNTIFS('2026 Özel Günler'!D$4:D$129,A13,'2026 Özel Günler'!C$4:C$129,"*Resmi Tatil*")</f>
        <v>1</v>
      </c>
    </row>
    <row r="14" spans="1:3" x14ac:dyDescent="0.25">
      <c r="A14" s="13" t="s">
        <v>125</v>
      </c>
      <c r="B14" s="14">
        <f>COUNTIF('2026 Özel Günler'!D$4:D$129,A14)</f>
        <v>9</v>
      </c>
      <c r="C14" s="14">
        <f>COUNTIFS('2026 Özel Günler'!D$4:D$129,A14,'2026 Özel Günler'!C$4:C$129,"*Resmi Tatil*")</f>
        <v>0</v>
      </c>
    </row>
    <row r="15" spans="1:3" x14ac:dyDescent="0.25">
      <c r="A15" s="11" t="s">
        <v>135</v>
      </c>
      <c r="B15" s="12">
        <f>COUNTIF('2026 Özel Günler'!D$4:D$129,A15)</f>
        <v>8</v>
      </c>
      <c r="C15" s="12">
        <f>COUNTIFS('2026 Özel Günler'!D$4:D$129,A15,'2026 Özel Günler'!C$4:C$129,"*Resmi Tatil*")</f>
        <v>0</v>
      </c>
    </row>
    <row r="16" spans="1:3" x14ac:dyDescent="0.25">
      <c r="A16" s="20" t="s">
        <v>160</v>
      </c>
      <c r="B16" s="21">
        <f>SUM(B4:B15)</f>
        <v>115</v>
      </c>
      <c r="C16" s="21">
        <f>SUM(C4:C15)</f>
        <v>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2026 Özel Günler</vt:lpstr>
      <vt:lpstr>2026 Resmi Tatiller</vt:lpstr>
      <vt:lpstr>Özet</vt:lpstr>
      <vt:lpstr>'2026 Özel Günler'!Yazdırma_Başlıkları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2026-09-14T12:43:55Z</dcterms:created>
  <dcterms:modified xsi:type="dcterms:W3CDTF">2026-09-14T19:56:29Z</dcterms:modified>
  <dc:language>en-US</dc:language>
</cp:coreProperties>
</file>